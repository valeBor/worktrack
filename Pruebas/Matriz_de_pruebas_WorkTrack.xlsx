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91fd2cf98d48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de pruebas" sheetId="1" r:id="R03f5088367014d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</x:fills>
  <x:borders count="3">
    <x:border>
      <x:left/>
      <x:right/>
      <x:top/>
      <x:bottom/>
      <x:diagonal/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f9bf78967e40d6" /><Relationship Type="http://schemas.openxmlformats.org/officeDocument/2006/relationships/theme" Target="/xl/theme/theme1.xml" Id="Rbf9bd34aaac34125" /><Relationship Type="http://schemas.openxmlformats.org/officeDocument/2006/relationships/sharedStrings" Target="/xl/sharedStrings.xml" Id="Rc92b789a0e0d4736" /><Relationship Type="http://schemas.openxmlformats.org/officeDocument/2006/relationships/worksheet" Target="/xl/worksheets/sheet1.xml" Id="R03f5088367014d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2" topLeftCell="C13" activePane="bottomRight" state="frozen"/>
    </x:sheetView>
  </x:sheetViews>
  <x:sheetFormatPr defaultRowHeight="15"/>
  <x:cols>
    <x:col min="1" max="1" width="11" hidden="0" customWidth="1"/>
    <x:col min="2" max="2" width="16" hidden="0" customWidth="1"/>
    <x:col min="3" max="3" width="29" hidden="0" customWidth="1"/>
    <x:col min="4" max="4" width="28" hidden="0" customWidth="1"/>
    <x:col min="5" max="5" width="27" hidden="0" customWidth="1"/>
    <x:col min="6" max="6" width="29" hidden="0" customWidth="1"/>
    <x:col min="7" max="7" width="21" hidden="0" customWidth="1"/>
    <x:col min="8" max="8" width="22" hidden="0" customWidth="1"/>
    <x:col min="9" max="9" width="13" hidden="0" customWidth="1"/>
  </x:cols>
  <x:sheetData>
    <x:row r="1" ht="21.600000381469727" hidden="0" customHeight="1">
      <x:c r="A1" s="3" t="str">
        <x:v>WORKTRACK  |  MATRIZ DE PRUEBAS</x:v>
      </x:c>
      <x:c r="B1" s="3"/>
      <x:c r="C1" s="3"/>
      <x:c r="D1" s="3"/>
      <x:c r="E1" s="3"/>
      <x:c r="F1" s="3"/>
      <x:c r="G1" s="3"/>
      <x:c r="H1" s="3"/>
      <x:c r="I1" s="3"/>
    </x:row>
    <x:row r="2" ht="15" hidden="0" customHeight="1">
      <x:c r="A2" s="5" t="str">
        <x:v>Corte: 2 de octubre de 2026 · Rama: feature/preparacion-produccion · Commit: 652093e</x:v>
      </x:c>
      <x:c r="B2" s="5"/>
      <x:c r="C2" s="5"/>
      <x:c r="D2" s="5"/>
      <x:c r="E2" s="5"/>
      <x:c r="F2" s="5"/>
      <x:c r="G2" s="5"/>
      <x:c r="H2" s="5"/>
      <x:c r="I2" s="5"/>
    </x:row>
    <x:row r="3"/>
    <x:row r="4" ht="15" hidden="0" customHeight="1">
      <x:c r="A4" s="6" t="str">
        <x:v>Resumen</x:v>
      </x:c>
      <x:c r="B4" s="6" t="str"/>
      <x:c r="C4" s="6" t="str"/>
      <x:c r="D4" s="6" t="str"/>
      <x:c r="E4" s="6" t="str"/>
      <x:c r="F4" s="6" t="str"/>
    </x:row>
    <x:row r="5" ht="15" hidden="0" customHeight="1">
      <x:c r="A5" s="9" t="str">
        <x:v>Indicador</x:v>
      </x:c>
      <x:c r="B5" s="9" t="str">
        <x:v>Valor</x:v>
      </x:c>
    </x:row>
    <x:row r="6" ht="15" hidden="0" customHeight="1">
      <x:c r="A6" s="13" t="str">
        <x:v>Total de casos</x:v>
      </x:c>
      <x:c r="B6" s="13" t="n">
        <x:v>46</x:v>
      </x:c>
    </x:row>
    <x:row r="7" ht="15" hidden="0" customHeight="1">
      <x:c r="A7" s="13" t="str">
        <x:v>Aprobados</x:v>
      </x:c>
      <x:c r="B7" s="13" t="n">
        <x:f>COUNTIF(G13:G58,"Aprobado")</x:f>
        <x:v>39</x:v>
      </x:c>
    </x:row>
    <x:row r="8" ht="15" hidden="0" customHeight="1">
      <x:c r="A8" s="13" t="str">
        <x:v>Pendientes</x:v>
      </x:c>
      <x:c r="B8" s="13" t="n">
        <x:f>COUNTIF(G13:G58,"Pendiente")</x:f>
        <x:v>6</x:v>
      </x:c>
    </x:row>
    <x:row r="9" ht="24" hidden="0" customHeight="1">
      <x:c r="A9" s="13" t="str">
        <x:v>Con observación</x:v>
      </x:c>
      <x:c r="B9" s="13" t="n">
        <x:f>COUNTIF(G13:G58,"*observación*")</x:f>
        <x:v>0</x:v>
      </x:c>
    </x:row>
    <x:row r="10"/>
    <x:row r="11" ht="15" hidden="0" customHeight="1">
      <x:c r="A11" s="15" t="str">
        <x:v>Criterio de cierre: todos los casos de prioridad crítica deben quedar aprobados; los pendientes deben documentar causa, responsable y fecha objetivo.</x:v>
      </x:c>
      <x:c r="B11" s="15" t="str"/>
      <x:c r="C11" s="15" t="str"/>
      <x:c r="D11" s="15" t="str"/>
      <x:c r="E11" s="15" t="str"/>
      <x:c r="F11" s="15" t="str"/>
      <x:c r="G11" s="15" t="str"/>
      <x:c r="H11" s="15" t="str"/>
      <x:c r="I11" s="15" t="str"/>
    </x:row>
    <x:row r="12" ht="15" hidden="0" customHeight="1">
      <x:c r="A12" s="9" t="str">
        <x:v>ID</x:v>
      </x:c>
      <x:c r="B12" s="9" t="str">
        <x:v>Módulo</x:v>
      </x:c>
      <x:c r="C12" s="9" t="str">
        <x:v>Caso de prueba</x:v>
      </x:c>
      <x:c r="D12" s="9" t="str">
        <x:v>Precondición</x:v>
      </x:c>
      <x:c r="E12" s="9" t="str">
        <x:v>Procedimiento</x:v>
      </x:c>
      <x:c r="F12" s="9" t="str">
        <x:v>Resultado esperado</x:v>
      </x:c>
      <x:c r="G12" s="9" t="str">
        <x:v>Estado</x:v>
      </x:c>
      <x:c r="H12" s="9" t="str">
        <x:v>Evidencia</x:v>
      </x:c>
      <x:c r="I12" s="9" t="str">
        <x:v>Fecha</x:v>
      </x:c>
    </x:row>
    <x:row r="13" ht="15" hidden="0" customHeight="1">
      <x:c r="A13" s="13" t="str">
        <x:v>CP-001</x:v>
      </x:c>
      <x:c r="B13" s="13" t="str">
        <x:v>Autenticación</x:v>
      </x:c>
      <x:c r="C13" s="13" t="str">
        <x:v>Login administrador válido</x:v>
      </x:c>
      <x:c r="D13" s="13" t="str">
        <x:v>Usuario admin activo; Turnstile válido</x:v>
      </x:c>
      <x:c r="E13" s="13" t="str">
        <x:v>Ingresar credenciales</x:v>
      </x:c>
      <x:c r="F13" s="13" t="str">
        <x:v>Accede a /admin</x:v>
      </x:c>
      <x:c r="G13" s="13" t="str">
        <x:v>Aprobado</x:v>
      </x:c>
      <x:c r="H13" s="13" t="str">
        <x:v>Funcional producción</x:v>
      </x:c>
      <x:c r="I13" s="13" t="str">
        <x:v>2/10/2026</x:v>
      </x:c>
    </x:row>
    <x:row r="14" ht="15" hidden="0" customHeight="1">
      <x:c r="A14" s="16" t="str">
        <x:v>CP-002</x:v>
      </x:c>
      <x:c r="B14" s="16" t="str">
        <x:v>Autenticación</x:v>
      </x:c>
      <x:c r="C14" s="16" t="str">
        <x:v>Login RRHH válido</x:v>
      </x:c>
      <x:c r="D14" s="16" t="str">
        <x:v>Usuario RRHH activo</x:v>
      </x:c>
      <x:c r="E14" s="16" t="str">
        <x:v>Ingresar credenciales</x:v>
      </x:c>
      <x:c r="F14" s="16" t="str">
        <x:v>Accede a /rrhh</x:v>
      </x:c>
      <x:c r="G14" s="16" t="str">
        <x:v>Aprobado</x:v>
      </x:c>
      <x:c r="H14" s="16" t="str">
        <x:v>Funcional producción</x:v>
      </x:c>
      <x:c r="I14" s="16" t="str">
        <x:v>2/10/2026</x:v>
      </x:c>
    </x:row>
    <x:row r="15" ht="15" hidden="0" customHeight="1">
      <x:c r="A15" s="13" t="str">
        <x:v>CP-003</x:v>
      </x:c>
      <x:c r="B15" s="13" t="str">
        <x:v>Autenticación</x:v>
      </x:c>
      <x:c r="C15" s="13" t="str">
        <x:v>Login supervisor válido</x:v>
      </x:c>
      <x:c r="D15" s="13" t="str">
        <x:v>Usuario supervisor activo</x:v>
      </x:c>
      <x:c r="E15" s="13" t="str">
        <x:v>Ingresar credenciales</x:v>
      </x:c>
      <x:c r="F15" s="13" t="str">
        <x:v>Accede a /supervisor</x:v>
      </x:c>
      <x:c r="G15" s="13" t="str">
        <x:v>Aprobado</x:v>
      </x:c>
      <x:c r="H15" s="13" t="str">
        <x:v>Funcional producción</x:v>
      </x:c>
      <x:c r="I15" s="13" t="str">
        <x:v>2/10/2026</x:v>
      </x:c>
    </x:row>
    <x:row r="16" ht="15" hidden="0" customHeight="1">
      <x:c r="A16" s="16" t="str">
        <x:v>CP-004</x:v>
      </x:c>
      <x:c r="B16" s="16" t="str">
        <x:v>Autenticación</x:v>
      </x:c>
      <x:c r="C16" s="16" t="str">
        <x:v>Login empleado válido</x:v>
      </x:c>
      <x:c r="D16" s="16" t="str">
        <x:v>Usuario empleado activo</x:v>
      </x:c>
      <x:c r="E16" s="16" t="str">
        <x:v>Ingresar credenciales</x:v>
      </x:c>
      <x:c r="F16" s="16" t="str">
        <x:v>Accede a /employee</x:v>
      </x:c>
      <x:c r="G16" s="16" t="str">
        <x:v>Aprobado</x:v>
      </x:c>
      <x:c r="H16" s="16" t="str">
        <x:v>Funcional producción</x:v>
      </x:c>
      <x:c r="I16" s="16" t="str">
        <x:v>2/10/2026</x:v>
      </x:c>
    </x:row>
    <x:row r="17" ht="15" hidden="0" customHeight="1">
      <x:c r="A17" s="13" t="str">
        <x:v>CP-005</x:v>
      </x:c>
      <x:c r="B17" s="13" t="str">
        <x:v>Autenticación</x:v>
      </x:c>
      <x:c r="C17" s="13" t="str">
        <x:v>Credenciales incorrectas</x:v>
      </x:c>
      <x:c r="D17" s="13" t="str">
        <x:v>Usuario existente</x:v>
      </x:c>
      <x:c r="E17" s="13" t="str">
        <x:v>Ingresar contraseña errónea</x:v>
      </x:c>
      <x:c r="F17" s="13" t="str">
        <x:v>Rechazo y mensaje controlado</x:v>
      </x:c>
      <x:c r="G17" s="13" t="str">
        <x:v>Aprobado</x:v>
      </x:c>
      <x:c r="H17" s="13" t="str">
        <x:v>Funcional</x:v>
      </x:c>
      <x:c r="I17" s="13" t="str">
        <x:v>2/10/2026</x:v>
      </x:c>
    </x:row>
    <x:row r="18" ht="15" hidden="0" customHeight="1">
      <x:c r="A18" s="16" t="str">
        <x:v>CP-006</x:v>
      </x:c>
      <x:c r="B18" s="16" t="str">
        <x:v>Seguridad</x:v>
      </x:c>
      <x:c r="C18" s="16" t="str">
        <x:v>Ruta protegida sin token</x:v>
      </x:c>
      <x:c r="D18" s="16" t="str">
        <x:v>Sesión cerrada</x:v>
      </x:c>
      <x:c r="E18" s="16" t="str">
        <x:v>Abrir URL protegida</x:v>
      </x:c>
      <x:c r="F18" s="16" t="str">
        <x:v>Redirección al login</x:v>
      </x:c>
      <x:c r="G18" s="16" t="str">
        <x:v>Aprobado</x:v>
      </x:c>
      <x:c r="H18" s="16" t="str">
        <x:v>Automática y funcional</x:v>
      </x:c>
      <x:c r="I18" s="16" t="str">
        <x:v>2/10/2026</x:v>
      </x:c>
    </x:row>
    <x:row r="19" ht="15" hidden="0" customHeight="1">
      <x:c r="A19" s="13" t="str">
        <x:v>CP-007</x:v>
      </x:c>
      <x:c r="B19" s="13" t="str">
        <x:v>Seguridad</x:v>
      </x:c>
      <x:c r="C19" s="13" t="str">
        <x:v>JWT inválido</x:v>
      </x:c>
      <x:c r="D19" s="13" t="str">
        <x:v>Token manipulado</x:v>
      </x:c>
      <x:c r="E19" s="13" t="str">
        <x:v>Invocar ruta protegida</x:v>
      </x:c>
      <x:c r="F19" s="13" t="str">
        <x:v>401 sin exponer datos</x:v>
      </x:c>
      <x:c r="G19" s="13" t="str">
        <x:v>Aprobado</x:v>
      </x:c>
      <x:c r="H19" s="13" t="str">
        <x:v>Backend automática</x:v>
      </x:c>
      <x:c r="I19" s="13" t="str">
        <x:v>2/10/2026</x:v>
      </x:c>
    </x:row>
    <x:row r="20" ht="15" hidden="0" customHeight="1">
      <x:c r="A20" s="16" t="str">
        <x:v>CP-008</x:v>
      </x:c>
      <x:c r="B20" s="16" t="str">
        <x:v>Recuperación</x:v>
      </x:c>
      <x:c r="C20" s="16" t="str">
        <x:v>Solicitar recuperación</x:v>
      </x:c>
      <x:c r="D20" s="16" t="str">
        <x:v>Email activo; Brevo disponible</x:v>
      </x:c>
      <x:c r="E20" s="16" t="str">
        <x:v>Completar correo y Turnstile</x:v>
      </x:c>
      <x:c r="F20" s="16" t="str">
        <x:v>Correo recibido</x:v>
      </x:c>
      <x:c r="G20" s="16" t="str">
        <x:v>Aprobado</x:v>
      </x:c>
      <x:c r="H20" s="16" t="str">
        <x:v>Producción</x:v>
      </x:c>
      <x:c r="I20" s="16" t="str">
        <x:v>29/09/2026</x:v>
      </x:c>
    </x:row>
    <x:row r="21" ht="15" hidden="0" customHeight="1">
      <x:c r="A21" s="13" t="str">
        <x:v>CP-009</x:v>
      </x:c>
      <x:c r="B21" s="13" t="str">
        <x:v>Recuperación</x:v>
      </x:c>
      <x:c r="C21" s="13" t="str">
        <x:v>Restablecer contraseña</x:v>
      </x:c>
      <x:c r="D21" s="13" t="str">
        <x:v>Enlace vigente</x:v>
      </x:c>
      <x:c r="E21" s="13" t="str">
        <x:v>Ingresar contraseña segura distinta</x:v>
      </x:c>
      <x:c r="F21" s="13" t="str">
        <x:v>Contraseña actualizada</x:v>
      </x:c>
      <x:c r="G21" s="13" t="str">
        <x:v>Aprobado</x:v>
      </x:c>
      <x:c r="H21" s="13" t="str">
        <x:v>Producción</x:v>
      </x:c>
      <x:c r="I21" s="13" t="str">
        <x:v>29/09/2026</x:v>
      </x:c>
    </x:row>
    <x:row r="22" ht="15" hidden="0" customHeight="1">
      <x:c r="A22" s="16" t="str">
        <x:v>CP-010</x:v>
      </x:c>
      <x:c r="B22" s="16" t="str">
        <x:v>Recuperación</x:v>
      </x:c>
      <x:c r="C22" s="16" t="str">
        <x:v>Contraseñas diferentes</x:v>
      </x:c>
      <x:c r="D22" s="16" t="str">
        <x:v>Enlace vigente</x:v>
      </x:c>
      <x:c r="E22" s="16" t="str">
        <x:v>Enviar valores distintos</x:v>
      </x:c>
      <x:c r="F22" s="16" t="str">
        <x:v>400 y mensaje claro</x:v>
      </x:c>
      <x:c r="G22" s="16" t="str">
        <x:v>Aprobado</x:v>
      </x:c>
      <x:c r="H22" s="16" t="str">
        <x:v>Backend automática</x:v>
      </x:c>
      <x:c r="I22" s="16" t="str">
        <x:v>2/10/2026</x:v>
      </x:c>
    </x:row>
    <x:row r="23" ht="15" hidden="0" customHeight="1">
      <x:c r="A23" s="13" t="str">
        <x:v>CP-011</x:v>
      </x:c>
      <x:c r="B23" s="13" t="str">
        <x:v>Usuarios</x:v>
      </x:c>
      <x:c r="C23" s="13" t="str">
        <x:v>Crear empleado</x:v>
      </x:c>
      <x:c r="D23" s="13" t="str">
        <x:v>Admin autenticado</x:v>
      </x:c>
      <x:c r="E23" s="13" t="str">
        <x:v>Completar datos válidos</x:v>
      </x:c>
      <x:c r="F23" s="13" t="str">
        <x:v>Usuario creado con rol</x:v>
      </x:c>
      <x:c r="G23" s="13" t="str">
        <x:v>Aprobado</x:v>
      </x:c>
      <x:c r="H23" s="13" t="str">
        <x:v>Funcional producción</x:v>
      </x:c>
      <x:c r="I23" s="13" t="str">
        <x:v>1/10/2026</x:v>
      </x:c>
    </x:row>
    <x:row r="24" ht="15" hidden="0" customHeight="1">
      <x:c r="A24" s="16" t="str">
        <x:v>CP-012</x:v>
      </x:c>
      <x:c r="B24" s="16" t="str">
        <x:v>Usuarios</x:v>
      </x:c>
      <x:c r="C24" s="16" t="str">
        <x:v>Editar email</x:v>
      </x:c>
      <x:c r="D24" s="16" t="str">
        <x:v>Admin autenticado</x:v>
      </x:c>
      <x:c r="E24" s="16" t="str">
        <x:v>Cambiar email y guardar</x:v>
      </x:c>
      <x:c r="F24" s="16" t="str">
        <x:v>Dato persistido</x:v>
      </x:c>
      <x:c r="G24" s="16" t="str">
        <x:v>Aprobado</x:v>
      </x:c>
      <x:c r="H24" s="16" t="str">
        <x:v>Funcional producción</x:v>
      </x:c>
      <x:c r="I24" s="16" t="str">
        <x:v>1/10/2026</x:v>
      </x:c>
    </x:row>
    <x:row r="25" ht="15" hidden="0" customHeight="1">
      <x:c r="A25" s="13" t="str">
        <x:v>CP-013</x:v>
      </x:c>
      <x:c r="B25" s="13" t="str">
        <x:v>Usuarios</x:v>
      </x:c>
      <x:c r="C25" s="13" t="str">
        <x:v>Validaciones de formulario</x:v>
      </x:c>
      <x:c r="D25" s="13" t="str">
        <x:v>Formulario visible</x:v>
      </x:c>
      <x:c r="E25" s="13" t="str">
        <x:v>Omitir/invalidar campos</x:v>
      </x:c>
      <x:c r="F25" s="13" t="str">
        <x:v>No envía y muestra errores</x:v>
      </x:c>
      <x:c r="G25" s="13" t="str">
        <x:v>Aprobado</x:v>
      </x:c>
      <x:c r="H25" s="13" t="str">
        <x:v>Funcional</x:v>
      </x:c>
      <x:c r="I25" s="13" t="str">
        <x:v>1/10/2026</x:v>
      </x:c>
    </x:row>
    <x:row r="26" ht="24" hidden="0" customHeight="1">
      <x:c r="A26" s="16" t="str">
        <x:v>CP-014</x:v>
      </x:c>
      <x:c r="B26" s="16" t="str">
        <x:v>Cronogramas</x:v>
      </x:c>
      <x:c r="C26" s="16" t="str">
        <x:v>Asignar cronograma</x:v>
      </x:c>
      <x:c r="D26" s="16" t="str">
        <x:v>Usuario activo</x:v>
      </x:c>
      <x:c r="E26" s="16" t="str">
        <x:v>Definir días, horas, modalidad y vigencia</x:v>
      </x:c>
      <x:c r="F26" s="16" t="str">
        <x:v>Cronograma guardado</x:v>
      </x:c>
      <x:c r="G26" s="16" t="str">
        <x:v>Aprobado</x:v>
      </x:c>
      <x:c r="H26" s="16" t="str">
        <x:v>Funcional producción</x:v>
      </x:c>
      <x:c r="I26" s="16" t="str">
        <x:v>1/10/2026</x:v>
      </x:c>
    </x:row>
    <x:row r="27" ht="15" hidden="0" customHeight="1">
      <x:c r="A27" s="13" t="str">
        <x:v>CP-015</x:v>
      </x:c>
      <x:c r="B27" s="13" t="str">
        <x:v>Cronogramas</x:v>
      </x:c>
      <x:c r="C27" s="13" t="str">
        <x:v>Consultar horario diario</x:v>
      </x:c>
      <x:c r="D27" s="13" t="str">
        <x:v>Empleado con horario</x:v>
      </x:c>
      <x:c r="E27" s="13" t="str">
        <x:v>Abrir panel</x:v>
      </x:c>
      <x:c r="F27" s="13" t="str">
        <x:v>Muestra horario aplicable</x:v>
      </x:c>
      <x:c r="G27" s="13" t="str">
        <x:v>Aprobado</x:v>
      </x:c>
      <x:c r="H27" s="13" t="str">
        <x:v>Funcional producción</x:v>
      </x:c>
      <x:c r="I27" s="13" t="str">
        <x:v>1/10/2026</x:v>
      </x:c>
    </x:row>
    <x:row r="28" ht="15" hidden="0" customHeight="1">
      <x:c r="A28" s="16" t="str">
        <x:v>CP-016</x:v>
      </x:c>
      <x:c r="B28" s="16" t="str">
        <x:v>Cambio horario</x:v>
      </x:c>
      <x:c r="C28" s="16" t="str">
        <x:v>Solicitar cambio puntual</x:v>
      </x:c>
      <x:c r="D28" s="16" t="str">
        <x:v>Cronograma vigente</x:v>
      </x:c>
      <x:c r="E28" s="16" t="str">
        <x:v>Elegir fecha futura y horario</x:v>
      </x:c>
      <x:c r="F28" s="16" t="str">
        <x:v>Solicitud pendiente</x:v>
      </x:c>
      <x:c r="G28" s="16" t="str">
        <x:v>Aprobado</x:v>
      </x:c>
      <x:c r="H28" s="16" t="str">
        <x:v>Funcional producción</x:v>
      </x:c>
      <x:c r="I28" s="16" t="str">
        <x:v>1/10/2026</x:v>
      </x:c>
    </x:row>
    <x:row r="29" ht="15" hidden="0" customHeight="1">
      <x:c r="A29" s="13" t="str">
        <x:v>CP-017</x:v>
      </x:c>
      <x:c r="B29" s="13" t="str">
        <x:v>Cambio horario</x:v>
      </x:c>
      <x:c r="C29" s="13" t="str">
        <x:v>Resolver solicitud</x:v>
      </x:c>
      <x:c r="D29" s="13" t="str">
        <x:v>Supervisor autorizado</x:v>
      </x:c>
      <x:c r="E29" s="13" t="str">
        <x:v>Aprobar o rechazar</x:v>
      </x:c>
      <x:c r="F29" s="13" t="str">
        <x:v>Estado y notificación correctos</x:v>
      </x:c>
      <x:c r="G29" s="13" t="str">
        <x:v>Aprobado</x:v>
      </x:c>
      <x:c r="H29" s="13" t="str">
        <x:v>Funcional producción</x:v>
      </x:c>
      <x:c r="I29" s="13" t="str">
        <x:v>1/10/2026</x:v>
      </x:c>
    </x:row>
    <x:row r="30" ht="15" hidden="0" customHeight="1">
      <x:c r="A30" s="16" t="str">
        <x:v>CP-018</x:v>
      </x:c>
      <x:c r="B30" s="16" t="str">
        <x:v>QR</x:v>
      </x:c>
      <x:c r="C30" s="16" t="str">
        <x:v>QR dinámico visible</x:v>
      </x:c>
      <x:c r="D30" s="16" t="str">
        <x:v>Admin autenticado</x:v>
      </x:c>
      <x:c r="E30" s="16" t="str">
        <x:v>Abrir visor</x:v>
      </x:c>
      <x:c r="F30" s="16" t="str">
        <x:v>Código visible y renovado</x:v>
      </x:c>
      <x:c r="G30" s="16" t="str">
        <x:v>Aprobado</x:v>
      </x:c>
      <x:c r="H30" s="16" t="str">
        <x:v>Funcional producción</x:v>
      </x:c>
      <x:c r="I30" s="16" t="str">
        <x:v>1/10/2026</x:v>
      </x:c>
    </x:row>
    <x:row r="31" ht="15" hidden="0" customHeight="1">
      <x:c r="A31" s="13" t="str">
        <x:v>CP-019</x:v>
      </x:c>
      <x:c r="B31" s="13" t="str">
        <x:v>QR</x:v>
      </x:c>
      <x:c r="C31" s="13" t="str">
        <x:v>Escanear QR vigente</x:v>
      </x:c>
      <x:c r="D31" s="13" t="str">
        <x:v>Empleado, cámara y red autorizada</x:v>
      </x:c>
      <x:c r="E31" s="13" t="str">
        <x:v>Apuntar al QR</x:v>
      </x:c>
      <x:c r="F31" s="13" t="str">
        <x:v>Token aceptado</x:v>
      </x:c>
      <x:c r="G31" s="13" t="str">
        <x:v>Aprobado</x:v>
      </x:c>
      <x:c r="H31" s="13" t="str">
        <x:v>Móvil producción</x:v>
      </x:c>
      <x:c r="I31" s="13" t="str">
        <x:v>1/10/2026</x:v>
      </x:c>
    </x:row>
    <x:row r="32" ht="15" hidden="0" customHeight="1">
      <x:c r="A32" s="16" t="str">
        <x:v>CP-020</x:v>
      </x:c>
      <x:c r="B32" s="16" t="str">
        <x:v>QR</x:v>
      </x:c>
      <x:c r="C32" s="16" t="str">
        <x:v>Rechazar QR vencido</x:v>
      </x:c>
      <x:c r="D32" s="16" t="str">
        <x:v>Código fuera de vigencia</x:v>
      </x:c>
      <x:c r="E32" s="16" t="str">
        <x:v>Escanear captura antigua</x:v>
      </x:c>
      <x:c r="F32" s="16" t="str">
        <x:v>Registro rechazado</x:v>
      </x:c>
      <x:c r="G32" s="16" t="str">
        <x:v>Aprobado</x:v>
      </x:c>
      <x:c r="H32" s="16" t="str">
        <x:v>Móvil producción</x:v>
      </x:c>
      <x:c r="I32" s="16" t="str">
        <x:v>1/10/2026</x:v>
      </x:c>
    </x:row>
    <x:row r="33" ht="15" hidden="0" customHeight="1">
      <x:c r="A33" s="13" t="str">
        <x:v>CP-021</x:v>
      </x:c>
      <x:c r="B33" s="13" t="str">
        <x:v>Red</x:v>
      </x:c>
      <x:c r="C33" s="13" t="str">
        <x:v>Rechazar red no autorizada</x:v>
      </x:c>
      <x:c r="D33" s="13" t="str">
        <x:v>IP fuera de rango</x:v>
      </x:c>
      <x:c r="E33" s="13" t="str">
        <x:v>Escanear QR</x:v>
      </x:c>
      <x:c r="F33" s="13" t="str">
        <x:v>Mensaje de red no autorizada</x:v>
      </x:c>
      <x:c r="G33" s="13" t="str">
        <x:v>Aprobado</x:v>
      </x:c>
      <x:c r="H33" s="13" t="str">
        <x:v>Móvil producción</x:v>
      </x:c>
      <x:c r="I33" s="13" t="str">
        <x:v>29/09/2026</x:v>
      </x:c>
    </x:row>
    <x:row r="34" ht="15" hidden="0" customHeight="1">
      <x:c r="A34" s="16" t="str">
        <x:v>CP-022</x:v>
      </x:c>
      <x:c r="B34" s="16" t="str">
        <x:v>Red</x:v>
      </x:c>
      <x:c r="C34" s="16" t="str">
        <x:v>Aceptar red autorizada hogar</x:v>
      </x:c>
      <x:c r="D34" s="16" t="str">
        <x:v>IP/rango cargado</x:v>
      </x:c>
      <x:c r="E34" s="16" t="str">
        <x:v>Escanear QR</x:v>
      </x:c>
      <x:c r="F34" s="16" t="str">
        <x:v>Continúa validación</x:v>
      </x:c>
      <x:c r="G34" s="16" t="str">
        <x:v>Aprobado</x:v>
      </x:c>
      <x:c r="H34" s="16" t="str">
        <x:v>Móvil producción</x:v>
      </x:c>
      <x:c r="I34" s="16" t="str">
        <x:v>29/09/2026</x:v>
      </x:c>
    </x:row>
    <x:row r="35" ht="15" hidden="0" customHeight="1">
      <x:c r="A35" s="13" t="str">
        <x:v>CP-023</x:v>
      </x:c>
      <x:c r="B35" s="13" t="str">
        <x:v>Red</x:v>
      </x:c>
      <x:c r="C35" s="13" t="str">
        <x:v>Red local instituto</x:v>
      </x:c>
      <x:c r="D35" s="13" t="str">
        <x:v>Datos de red oficial</x:v>
      </x:c>
      <x:c r="E35" s="13" t="str">
        <x:v>Conectar y escanear</x:v>
      </x:c>
      <x:c r="F35" s="13" t="str">
        <x:v>Registro permitido</x:v>
      </x:c>
      <x:c r="G35" s="13" t="str">
        <x:v>Pendiente</x:v>
      </x:c>
      <x:c r="H35" s="13" t="str">
        <x:v>Prueba in situ</x:v>
      </x:c>
      <x:c r="I35" s="13" t="str"/>
    </x:row>
    <x:row r="36" ht="15" hidden="0" customHeight="1">
      <x:c r="A36" s="16" t="str">
        <x:v>CP-024</x:v>
      </x:c>
      <x:c r="B36" s="16" t="str">
        <x:v>Red</x:v>
      </x:c>
      <x:c r="C36" s="16" t="str">
        <x:v>VPN oficial instituto</x:v>
      </x:c>
      <x:c r="D36" s="16" t="str">
        <x:v>VPN configurada</x:v>
      </x:c>
      <x:c r="E36" s="16" t="str">
        <x:v>Conectar y escanear</x:v>
      </x:c>
      <x:c r="F36" s="16" t="str">
        <x:v>Registro permitido</x:v>
      </x:c>
      <x:c r="G36" s="16" t="str">
        <x:v>Pendiente</x:v>
      </x:c>
      <x:c r="H36" s="16" t="str">
        <x:v>Prueba in situ</x:v>
      </x:c>
      <x:c r="I36" s="16" t="str"/>
    </x:row>
    <x:row r="37" ht="15" hidden="0" customHeight="1">
      <x:c r="A37" s="13" t="str">
        <x:v>CP-025</x:v>
      </x:c>
      <x:c r="B37" s="13" t="str">
        <x:v>Asistencia</x:v>
      </x:c>
      <x:c r="C37" s="13" t="str">
        <x:v>Registrar entrada</x:v>
      </x:c>
      <x:c r="D37" s="13" t="str">
        <x:v>Horario vigente; QR/red válidos</x:v>
      </x:c>
      <x:c r="E37" s="13" t="str">
        <x:v>Escanear y elegir entrada</x:v>
      </x:c>
      <x:c r="F37" s="13" t="str">
        <x:v>Entrada persistida</x:v>
      </x:c>
      <x:c r="G37" s="13" t="str">
        <x:v>Aprobado</x:v>
      </x:c>
      <x:c r="H37" s="13" t="str">
        <x:v>Funcional producción</x:v>
      </x:c>
      <x:c r="I37" s="13" t="str">
        <x:v>1/10/2026</x:v>
      </x:c>
    </x:row>
    <x:row r="38" ht="15" hidden="0" customHeight="1">
      <x:c r="A38" s="16" t="str">
        <x:v>CP-026</x:v>
      </x:c>
      <x:c r="B38" s="16" t="str">
        <x:v>Asistencia</x:v>
      </x:c>
      <x:c r="C38" s="16" t="str">
        <x:v>Registrar salida</x:v>
      </x:c>
      <x:c r="D38" s="16" t="str">
        <x:v>Entrada previa</x:v>
      </x:c>
      <x:c r="E38" s="16" t="str">
        <x:v>Escanear y elegir salida</x:v>
      </x:c>
      <x:c r="F38" s="16" t="str">
        <x:v>Salida persistida</x:v>
      </x:c>
      <x:c r="G38" s="16" t="str">
        <x:v>Aprobado</x:v>
      </x:c>
      <x:c r="H38" s="16" t="str">
        <x:v>Funcional producción</x:v>
      </x:c>
      <x:c r="I38" s="16" t="str">
        <x:v>1/10/2026</x:v>
      </x:c>
    </x:row>
    <x:row r="39" ht="15" hidden="0" customHeight="1">
      <x:c r="A39" s="13" t="str">
        <x:v>CP-027</x:v>
      </x:c>
      <x:c r="B39" s="13" t="str">
        <x:v>Asistencia</x:v>
      </x:c>
      <x:c r="C39" s="13" t="str">
        <x:v>Impedir salida sin entrada</x:v>
      </x:c>
      <x:c r="D39" s="13" t="str">
        <x:v>Sin entrada del día</x:v>
      </x:c>
      <x:c r="E39" s="13" t="str">
        <x:v>Intentar salida</x:v>
      </x:c>
      <x:c r="F39" s="13" t="str">
        <x:v>Operación rechazada</x:v>
      </x:c>
      <x:c r="G39" s="13" t="str">
        <x:v>Aprobado</x:v>
      </x:c>
      <x:c r="H39" s="13" t="str">
        <x:v>Funcional producción</x:v>
      </x:c>
      <x:c r="I39" s="13" t="str">
        <x:v>1/10/2026</x:v>
      </x:c>
    </x:row>
    <x:row r="40" ht="15" hidden="0" customHeight="1">
      <x:c r="A40" s="16" t="str">
        <x:v>CP-028</x:v>
      </x:c>
      <x:c r="B40" s="16" t="str">
        <x:v>Asistencia</x:v>
      </x:c>
      <x:c r="C40" s="16" t="str">
        <x:v>Impedir entrada duplicada</x:v>
      </x:c>
      <x:c r="D40" s="16" t="str">
        <x:v>Entrada existente</x:v>
      </x:c>
      <x:c r="E40" s="16" t="str">
        <x:v>Intentar otra entrada</x:v>
      </x:c>
      <x:c r="F40" s="16" t="str">
        <x:v>Operación rechazada</x:v>
      </x:c>
      <x:c r="G40" s="16" t="str">
        <x:v>Aprobado</x:v>
      </x:c>
      <x:c r="H40" s="16" t="str">
        <x:v>Funcional producción</x:v>
      </x:c>
      <x:c r="I40" s="16" t="str">
        <x:v>1/10/2026</x:v>
      </x:c>
    </x:row>
    <x:row r="41" ht="15" hidden="0" customHeight="1">
      <x:c r="A41" s="13" t="str">
        <x:v>CP-029</x:v>
      </x:c>
      <x:c r="B41" s="13" t="str">
        <x:v>Asistencia</x:v>
      </x:c>
      <x:c r="C41" s="13" t="str">
        <x:v>Impedir salida duplicada</x:v>
      </x:c>
      <x:c r="D41" s="13" t="str">
        <x:v>Salida existente</x:v>
      </x:c>
      <x:c r="E41" s="13" t="str">
        <x:v>Intentar otra salida</x:v>
      </x:c>
      <x:c r="F41" s="13" t="str">
        <x:v>Operación rechazada</x:v>
      </x:c>
      <x:c r="G41" s="13" t="str">
        <x:v>Aprobado</x:v>
      </x:c>
      <x:c r="H41" s="13" t="str">
        <x:v>Funcional producción</x:v>
      </x:c>
      <x:c r="I41" s="13" t="str">
        <x:v>1/10/2026</x:v>
      </x:c>
    </x:row>
    <x:row r="42" ht="15" hidden="0" customHeight="1">
      <x:c r="A42" s="16" t="str">
        <x:v>CP-030</x:v>
      </x:c>
      <x:c r="B42" s="16" t="str">
        <x:v>Asistencia manual</x:v>
      </x:c>
      <x:c r="C42" s="16" t="str">
        <x:v>Registrar corrección</x:v>
      </x:c>
      <x:c r="D42" s="16" t="str">
        <x:v>Rol autorizado</x:v>
      </x:c>
      <x:c r="E42" s="16" t="str">
        <x:v>Cargar fecha/hora/motivo</x:v>
      </x:c>
      <x:c r="F42" s="16" t="str">
        <x:v>Asistencia e historial de auditoría</x:v>
      </x:c>
      <x:c r="G42" s="16" t="str">
        <x:v>Aprobado</x:v>
      </x:c>
      <x:c r="H42" s="16" t="str">
        <x:v>Funcional producción</x:v>
      </x:c>
      <x:c r="I42" s="16" t="str">
        <x:v>1/10/2026</x:v>
      </x:c>
    </x:row>
    <x:row r="43" ht="24" hidden="0" customHeight="1">
      <x:c r="A43" s="13" t="str">
        <x:v>CP-031</x:v>
      </x:c>
      <x:c r="B43" s="13" t="str">
        <x:v>Justificativos</x:v>
      </x:c>
      <x:c r="C43" s="13" t="str">
        <x:v>Crear justificación válida</x:v>
      </x:c>
      <x:c r="D43" s="13" t="str">
        <x:v>Fecha pasada/actual con horario y sin asistencia</x:v>
      </x:c>
      <x:c r="E43" s="13" t="str">
        <x:v>Completar solicitud</x:v>
      </x:c>
      <x:c r="F43" s="13" t="str">
        <x:v>Solicitud creada</x:v>
      </x:c>
      <x:c r="G43" s="13" t="str">
        <x:v>Aprobado</x:v>
      </x:c>
      <x:c r="H43" s="13" t="str">
        <x:v>Funcional producción</x:v>
      </x:c>
      <x:c r="I43" s="13" t="str">
        <x:v>2/10/2026</x:v>
      </x:c>
    </x:row>
    <x:row r="44" ht="15" hidden="0" customHeight="1">
      <x:c r="A44" s="16" t="str">
        <x:v>CP-032</x:v>
      </x:c>
      <x:c r="B44" s="16" t="str">
        <x:v>Justificativos</x:v>
      </x:c>
      <x:c r="C44" s="16" t="str">
        <x:v>Rechazar sin cronograma</x:v>
      </x:c>
      <x:c r="D44" s="16" t="str">
        <x:v>Fecha sin horario aplicable</x:v>
      </x:c>
      <x:c r="E44" s="16" t="str">
        <x:v>Enviar justificación</x:v>
      </x:c>
      <x:c r="F44" s="16" t="str">
        <x:v>Rechazo controlado</x:v>
      </x:c>
      <x:c r="G44" s="16" t="str">
        <x:v>Aprobado</x:v>
      </x:c>
      <x:c r="H44" s="16" t="str">
        <x:v>Automática y producción</x:v>
      </x:c>
      <x:c r="I44" s="16" t="str">
        <x:v>2/10/2026</x:v>
      </x:c>
    </x:row>
    <x:row r="45" ht="15" hidden="0" customHeight="1">
      <x:c r="A45" s="13" t="str">
        <x:v>CP-033</x:v>
      </x:c>
      <x:c r="B45" s="13" t="str">
        <x:v>Justificativos</x:v>
      </x:c>
      <x:c r="C45" s="13" t="str">
        <x:v>Rechazar con asistencia</x:v>
      </x:c>
      <x:c r="D45" s="13" t="str">
        <x:v>Existe entrada en fecha</x:v>
      </x:c>
      <x:c r="E45" s="13" t="str">
        <x:v>Enviar justificación</x:v>
      </x:c>
      <x:c r="F45" s="13" t="str">
        <x:v>Rechazo controlado</x:v>
      </x:c>
      <x:c r="G45" s="13" t="str">
        <x:v>Aprobado</x:v>
      </x:c>
      <x:c r="H45" s="13" t="str">
        <x:v>Automática</x:v>
      </x:c>
      <x:c r="I45" s="13" t="str">
        <x:v>2/10/2026</x:v>
      </x:c>
    </x:row>
    <x:row r="46" ht="15" hidden="0" customHeight="1">
      <x:c r="A46" s="16" t="str">
        <x:v>CP-034</x:v>
      </x:c>
      <x:c r="B46" s="16" t="str">
        <x:v>Archivos</x:v>
      </x:c>
      <x:c r="C46" s="16" t="str">
        <x:v>Subir justificativo privado</x:v>
      </x:c>
      <x:c r="D46" s="16" t="str">
        <x:v>PDF/JPG/PNG válido</x:v>
      </x:c>
      <x:c r="E46" s="16" t="str">
        <x:v>Adjuntar y enviar</x:v>
      </x:c>
      <x:c r="F46" s="16" t="str">
        <x:v>Objeto privado y metadatos guardados</x:v>
      </x:c>
      <x:c r="G46" s="16" t="str">
        <x:v>Aprobado</x:v>
      </x:c>
      <x:c r="H46" s="16" t="str">
        <x:v>Producción</x:v>
      </x:c>
      <x:c r="I46" s="16" t="str">
        <x:v>1/10/2026</x:v>
      </x:c>
    </x:row>
    <x:row r="47" ht="15" hidden="0" customHeight="1">
      <x:c r="A47" s="13" t="str">
        <x:v>CP-035</x:v>
      </x:c>
      <x:c r="B47" s="13" t="str">
        <x:v>Archivos</x:v>
      </x:c>
      <x:c r="C47" s="13" t="str">
        <x:v>Descargar justificativo autorizado</x:v>
      </x:c>
      <x:c r="D47" s="13" t="str">
        <x:v>Rol con permiso</x:v>
      </x:c>
      <x:c r="E47" s="13" t="str">
        <x:v>Abrir descarga</x:v>
      </x:c>
      <x:c r="F47" s="13" t="str">
        <x:v>Archivo correcto</x:v>
      </x:c>
      <x:c r="G47" s="13" t="str">
        <x:v>Aprobado</x:v>
      </x:c>
      <x:c r="H47" s="13" t="str">
        <x:v>Producción</x:v>
      </x:c>
      <x:c r="I47" s="13" t="str">
        <x:v>1/10/2026</x:v>
      </x:c>
    </x:row>
    <x:row r="48" ht="15" hidden="0" customHeight="1">
      <x:c r="A48" s="16" t="str">
        <x:v>CP-036</x:v>
      </x:c>
      <x:c r="B48" s="16" t="str">
        <x:v>Notificaciones</x:v>
      </x:c>
      <x:c r="C48" s="16" t="str">
        <x:v>Fecha de cambio correcta</x:v>
      </x:c>
      <x:c r="D48" s="16" t="str">
        <x:v>Solicitud resuelta</x:v>
      </x:c>
      <x:c r="E48" s="16" t="str">
        <x:v>Abrir notificación</x:v>
      </x:c>
      <x:c r="F48" s="16" t="str">
        <x:v>Muestra fecha solicitada</x:v>
      </x:c>
      <x:c r="G48" s="16" t="str">
        <x:v>Aprobado</x:v>
      </x:c>
      <x:c r="H48" s="16" t="str">
        <x:v>Producción</x:v>
      </x:c>
      <x:c r="I48" s="16" t="str">
        <x:v>1/10/2026</x:v>
      </x:c>
    </x:row>
    <x:row r="49" ht="15" hidden="0" customHeight="1">
      <x:c r="A49" s="13" t="str">
        <x:v>CP-037</x:v>
      </x:c>
      <x:c r="B49" s="13" t="str">
        <x:v>Reportes</x:v>
      </x:c>
      <x:c r="C49" s="13" t="str">
        <x:v>Consultar estadísticas</x:v>
      </x:c>
      <x:c r="D49" s="13" t="str">
        <x:v>Datos de asistencia</x:v>
      </x:c>
      <x:c r="E49" s="13" t="str">
        <x:v>Aplicar filtros</x:v>
      </x:c>
      <x:c r="F49" s="13" t="str">
        <x:v>Totales coherentes</x:v>
      </x:c>
      <x:c r="G49" s="13" t="str">
        <x:v>Aprobado</x:v>
      </x:c>
      <x:c r="H49" s="13" t="str">
        <x:v>Funcional producción</x:v>
      </x:c>
      <x:c r="I49" s="13" t="str">
        <x:v>1/10/2026</x:v>
      </x:c>
    </x:row>
    <x:row r="50" ht="15" hidden="0" customHeight="1">
      <x:c r="A50" s="16" t="str">
        <x:v>CP-038</x:v>
      </x:c>
      <x:c r="B50" s="16" t="str">
        <x:v>Reportes</x:v>
      </x:c>
      <x:c r="C50" s="16" t="str">
        <x:v>Exportar reporte</x:v>
      </x:c>
      <x:c r="D50" s="16" t="str">
        <x:v>Datos filtrados</x:v>
      </x:c>
      <x:c r="E50" s="16" t="str">
        <x:v>Generar PDF</x:v>
      </x:c>
      <x:c r="F50" s="16" t="str">
        <x:v>Archivo descargable</x:v>
      </x:c>
      <x:c r="G50" s="16" t="str">
        <x:v>Aprobado</x:v>
      </x:c>
      <x:c r="H50" s="16" t="str">
        <x:v>Funcional producción</x:v>
      </x:c>
      <x:c r="I50" s="16" t="str">
        <x:v>1/10/2026</x:v>
      </x:c>
    </x:row>
    <x:row r="51" ht="15" hidden="0" customHeight="1">
      <x:c r="A51" s="13" t="str">
        <x:v>CP-039</x:v>
      </x:c>
      <x:c r="B51" s="13" t="str">
        <x:v>Alertas</x:v>
      </x:c>
      <x:c r="C51" s="13" t="str">
        <x:v>Detectar tardanza real</x:v>
      </x:c>
      <x:c r="D51" s="13" t="str">
        <x:v>Horario y marcación tardía</x:v>
      </x:c>
      <x:c r="E51" s="13" t="str">
        <x:v>Esperar evento/registrar</x:v>
      </x:c>
      <x:c r="F51" s="13" t="str">
        <x:v>Tardanza y alerta correctas</x:v>
      </x:c>
      <x:c r="G51" s="13" t="str">
        <x:v>Pendiente</x:v>
      </x:c>
      <x:c r="H51" s="13" t="str">
        <x:v>Requiere datos temporales</x:v>
      </x:c>
      <x:c r="I51" s="13" t="str"/>
    </x:row>
    <x:row r="52" ht="15" hidden="0" customHeight="1">
      <x:c r="A52" s="16" t="str">
        <x:v>CP-040</x:v>
      </x:c>
      <x:c r="B52" s="16" t="str">
        <x:v>Alertas</x:v>
      </x:c>
      <x:c r="C52" s="16" t="str">
        <x:v>Detectar ausencia real</x:v>
      </x:c>
      <x:c r="D52" s="16" t="str">
        <x:v>Día laborable sin marcación</x:v>
      </x:c>
      <x:c r="E52" s="16" t="str">
        <x:v>Ejecutar flujo temporal</x:v>
      </x:c>
      <x:c r="F52" s="16" t="str">
        <x:v>Ausencia y alerta correctas</x:v>
      </x:c>
      <x:c r="G52" s="16" t="str">
        <x:v>Pendiente</x:v>
      </x:c>
      <x:c r="H52" s="16" t="str">
        <x:v>Requiere datos temporales</x:v>
      </x:c>
      <x:c r="I52" s="16" t="str"/>
    </x:row>
    <x:row r="53" ht="15" hidden="0" customHeight="1">
      <x:c r="A53" s="13" t="str">
        <x:v>CP-041</x:v>
      </x:c>
      <x:c r="B53" s="13" t="str">
        <x:v>Operación</x:v>
      </x:c>
      <x:c r="C53" s="13" t="str">
        <x:v>Health API y base</x:v>
      </x:c>
      <x:c r="D53" s="13" t="str">
        <x:v>Servicios desplegados</x:v>
      </x:c>
      <x:c r="E53" s="13" t="str">
        <x:v>GET /health</x:v>
      </x:c>
      <x:c r="F53" s="13" t="str">
        <x:v>200 y database connected</x:v>
      </x:c>
      <x:c r="G53" s="13" t="str">
        <x:v>Aprobado</x:v>
      </x:c>
      <x:c r="H53" s="13" t="str">
        <x:v>curl producción</x:v>
      </x:c>
      <x:c r="I53" s="13" t="str">
        <x:v>29/09/2026</x:v>
      </x:c>
    </x:row>
    <x:row r="54" ht="15" hidden="0" customHeight="1">
      <x:c r="A54" s="16" t="str">
        <x:v>CP-042</x:v>
      </x:c>
      <x:c r="B54" s="16" t="str">
        <x:v>Operación</x:v>
      </x:c>
      <x:c r="C54" s="16" t="str">
        <x:v>Backup y restauración</x:v>
      </x:c>
      <x:c r="D54" s="16" t="str">
        <x:v>Acceso administrativo</x:v>
      </x:c>
      <x:c r="E54" s="16" t="str">
        <x:v>Generar y restaurar copia</x:v>
      </x:c>
      <x:c r="F54" s="16" t="str">
        <x:v>Datos recuperables</x:v>
      </x:c>
      <x:c r="G54" s="16" t="str">
        <x:v>Pendiente</x:v>
      </x:c>
      <x:c r="H54" s="16" t="str">
        <x:v>Procedimiento operativo</x:v>
      </x:c>
      <x:c r="I54" s="16" t="str"/>
    </x:row>
    <x:row r="55" ht="15" hidden="0" customHeight="1">
      <x:c r="A55" s="13" t="str">
        <x:v>CP-043</x:v>
      </x:c>
      <x:c r="B55" s="13" t="str">
        <x:v>Automatización</x:v>
      </x:c>
      <x:c r="C55" s="13" t="str">
        <x:v>Suite backend</x:v>
      </x:c>
      <x:c r="D55" s="13" t="str">
        <x:v>Dependencias instaladas</x:v>
      </x:c>
      <x:c r="E55" s="13" t="str">
        <x:v>npm --prefix backend test</x:v>
      </x:c>
      <x:c r="F55" s="13" t="str">
        <x:v>30/30 aprobadas</x:v>
      </x:c>
      <x:c r="G55" s="13" t="str">
        <x:v>Aprobado</x:v>
      </x:c>
      <x:c r="H55" s="13" t="str">
        <x:v>node:test</x:v>
      </x:c>
      <x:c r="I55" s="13" t="str">
        <x:v>2/10/2026</x:v>
      </x:c>
    </x:row>
    <x:row r="56" ht="15" hidden="0" customHeight="1">
      <x:c r="A56" s="16" t="str">
        <x:v>CP-044</x:v>
      </x:c>
      <x:c r="B56" s="16" t="str">
        <x:v>Automatización</x:v>
      </x:c>
      <x:c r="C56" s="16" t="str">
        <x:v>Suite frontend</x:v>
      </x:c>
      <x:c r="D56" s="16" t="str">
        <x:v>Dependencias instaladas</x:v>
      </x:c>
      <x:c r="E56" s="16" t="str">
        <x:v>ng test --watch=false</x:v>
      </x:c>
      <x:c r="F56" s="16" t="str">
        <x:v>11/11 aprobadas</x:v>
      </x:c>
      <x:c r="G56" s="16" t="str">
        <x:v>Aprobado</x:v>
      </x:c>
      <x:c r="H56" s="16" t="str">
        <x:v>Vitest</x:v>
      </x:c>
      <x:c r="I56" s="16" t="str">
        <x:v>1/10/2026</x:v>
      </x:c>
    </x:row>
    <x:row r="57" ht="15" hidden="0" customHeight="1">
      <x:c r="A57" s="13" t="str">
        <x:v>CP-045</x:v>
      </x:c>
      <x:c r="B57" s="13" t="str">
        <x:v>Build</x:v>
      </x:c>
      <x:c r="C57" s="13" t="str">
        <x:v>Compilar Angular producción</x:v>
      </x:c>
      <x:c r="D57" s="13" t="str">
        <x:v>Dependencias instaladas</x:v>
      </x:c>
      <x:c r="E57" s="13" t="str">
        <x:v>npm --prefix worktrack run build</x:v>
      </x:c>
      <x:c r="F57" s="13" t="str">
        <x:v>Build correcto; warnings conocidos</x:v>
      </x:c>
      <x:c r="G57" s="13" t="str">
        <x:v>Aprobado con observación</x:v>
      </x:c>
      <x:c r="H57" s="13" t="str">
        <x:v>Angular CLI</x:v>
      </x:c>
      <x:c r="I57" s="13" t="str">
        <x:v>1/10/2026</x:v>
      </x:c>
    </x:row>
    <x:row r="58" ht="15" hidden="0" customHeight="1">
      <x:c r="A58" s="16" t="str">
        <x:v>CP-046</x:v>
      </x:c>
      <x:c r="B58" s="16" t="str">
        <x:v>Regresión</x:v>
      </x:c>
      <x:c r="C58" s="16" t="str">
        <x:v>Regresión posterior a merge main</x:v>
      </x:c>
      <x:c r="D58" s="16" t="str">
        <x:v>Rama integrada</x:v>
      </x:c>
      <x:c r="E58" s="16" t="str">
        <x:v>Repetir suites y casos críticos</x:v>
      </x:c>
      <x:c r="F58" s="16" t="str">
        <x:v>Sin regresiones</x:v>
      </x:c>
      <x:c r="G58" s="16" t="str">
        <x:v>Pendiente</x:v>
      </x:c>
      <x:c r="H58" s="16" t="str">
        <x:v>Antes de tag final</x:v>
      </x:c>
      <x:c r="I58" s="16" t="str"/>
    </x:row>
  </x:sheetData>
  <x:mergeCells>
    <x:mergeCell ref="A1:I1"/>
    <x:mergeCell ref="A2:I2"/>
    <x:mergeCell ref="A4:F4"/>
    <x:mergeCell ref="A11:I11"/>
  </x:mergeCells>
  <x:conditionalFormatting sqref="G13:G58">
    <x:cfRule type="containsText" dxfId="0" priority="1" operator="containsText" text="Aprobado"/>
    <x:cfRule type="containsText" dxfId="1" priority="2" operator="containsText" text="Pendiente"/>
  </x:conditionalFormatting>
  <x:dataValidations count="1">
    <x:dataValidation type="list" sqref="G13:G58">
      <x:formula1>"Aprobado,Aprobado con observación,Pendiente,Fallido,No aplica"</x:formula1>
    </x:dataValidation>
  </x:dataValidations>
  <x:pageMargins left="0.7" right="0.7" top="0.75" bottom="0.75" header="0.3" footer="0.3"/>
</x:worksheet>
</file>